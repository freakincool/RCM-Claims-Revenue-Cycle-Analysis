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visha\Documents\Project-01-RCM-Claims-Revenue-Cycle-Analysis\"/>
    </mc:Choice>
  </mc:AlternateContent>
  <xr:revisionPtr revIDLastSave="0" documentId="13_ncr:1_{E748BCBC-FEB3-48A3-9AA9-CEC805871320}" xr6:coauthVersionLast="47" xr6:coauthVersionMax="47" xr10:uidLastSave="{00000000-0000-0000-0000-000000000000}"/>
  <bookViews>
    <workbookView xWindow="-108" yWindow="-108" windowWidth="23256" windowHeight="12576" tabRatio="748" activeTab="6" xr2:uid="{547A1DB8-6FBE-49D1-A4F5-7A3704372E27}"/>
  </bookViews>
  <sheets>
    <sheet name="Project_Control" sheetId="1" r:id="rId1"/>
    <sheet name="Executive_KPIs" sheetId="2" r:id="rId2"/>
    <sheet name="AR_Evidence" sheetId="3" r:id="rId3"/>
    <sheet name="Denial_Evidence" sheetId="4" r:id="rId4"/>
    <sheet name="Payer_Evidence" sheetId="5" r:id="rId5"/>
    <sheet name="Trend_Evidence" sheetId="6" r:id="rId6"/>
    <sheet name="Business_Questions"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56" i="5" l="1" a="1"/>
  <c r="D56" i="5" s="1"/>
  <c r="D57" i="5" a="1"/>
  <c r="D57" i="5" s="1"/>
  <c r="D58" i="5" a="1"/>
  <c r="D58" i="5" s="1"/>
  <c r="D59" i="5" a="1"/>
  <c r="D59" i="5" s="1"/>
  <c r="D60" i="5" a="1"/>
  <c r="D60" i="5" s="1"/>
  <c r="D62" i="5" a="1"/>
  <c r="D62" i="5" s="1"/>
  <c r="D63" i="5" a="1"/>
  <c r="D63" i="5" s="1"/>
  <c r="D64" i="5" a="1"/>
  <c r="D64" i="5" s="1"/>
  <c r="D61" i="5" a="1"/>
  <c r="D61" i="5" s="1"/>
  <c r="D55" i="5" a="1"/>
  <c r="D55" i="5" s="1"/>
  <c r="C65" i="5" l="1"/>
  <c r="D65" i="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<sst xmlns="http://schemas.openxmlformats.org/spreadsheetml/2006/main" count="263" uniqueCount="120">
  <si>
    <t>Field</t>
  </si>
  <si>
    <t>Value</t>
  </si>
  <si>
    <t>Project Name</t>
  </si>
  <si>
    <t>RCM Claims &amp; Revenue Cycle Analysis</t>
  </si>
  <si>
    <t>Project ID</t>
  </si>
  <si>
    <t>Project 01</t>
  </si>
  <si>
    <t>Domain</t>
  </si>
  <si>
    <t>US Healthcare Revenue Cycle Management</t>
  </si>
  <si>
    <t>Dataset Type</t>
  </si>
  <si>
    <t>Synthetic</t>
  </si>
  <si>
    <t>Dataset Rows</t>
  </si>
  <si>
    <t>~3,000</t>
  </si>
  <si>
    <t>Dataset Columns</t>
  </si>
  <si>
    <t>Primary Tool</t>
  </si>
  <si>
    <t>Excel</t>
  </si>
  <si>
    <t>Dashboard Tool</t>
  </si>
  <si>
    <t>Analysis Status</t>
  </si>
  <si>
    <t>Completed</t>
  </si>
  <si>
    <t>Dashboard Status</t>
  </si>
  <si>
    <t>Documentation Status</t>
  </si>
  <si>
    <t>Evidence Version</t>
  </si>
  <si>
    <t>Last Updated</t>
  </si>
  <si>
    <t>KPI</t>
  </si>
  <si>
    <t>Unit</t>
  </si>
  <si>
    <t>Definition</t>
  </si>
  <si>
    <t>Source / Calculation</t>
  </si>
  <si>
    <t>Verified</t>
  </si>
  <si>
    <t>Total Claims</t>
  </si>
  <si>
    <t>Claims</t>
  </si>
  <si>
    <t>Total claim records</t>
  </si>
  <si>
    <t>Dataset</t>
  </si>
  <si>
    <t>Allowed Amount</t>
  </si>
  <si>
    <t>$</t>
  </si>
  <si>
    <t>Total allowed amount</t>
  </si>
  <si>
    <t>Paid Amount</t>
  </si>
  <si>
    <t>Total paid amount</t>
  </si>
  <si>
    <t>Outstanding AR</t>
  </si>
  <si>
    <t>Total unpaid AR</t>
  </si>
  <si>
    <t>Payment Rate</t>
  </si>
  <si>
    <t>%</t>
  </si>
  <si>
    <t>Paid ÷ Allowed</t>
  </si>
  <si>
    <t>Calculation</t>
  </si>
  <si>
    <t>Denial Rate</t>
  </si>
  <si>
    <t>Denied Claims ÷ Total Claims</t>
  </si>
  <si>
    <t>Aging_Bucket</t>
  </si>
  <si>
    <t>Count of Claim_ID</t>
  </si>
  <si>
    <t>Sum of Outstanding_AR</t>
  </si>
  <si>
    <t>% of Total AR</t>
  </si>
  <si>
    <t>0-30</t>
  </si>
  <si>
    <t>31-60</t>
  </si>
  <si>
    <t>61-90</t>
  </si>
  <si>
    <t>91-120</t>
  </si>
  <si>
    <t>120+</t>
  </si>
  <si>
    <t>Grand Total</t>
  </si>
  <si>
    <t>Outstanding_AR</t>
  </si>
  <si>
    <t>Row Labels</t>
  </si>
  <si>
    <t>Sum of Denial_Amount</t>
  </si>
  <si>
    <t>% of Total Denial Amount</t>
  </si>
  <si>
    <t>Coding</t>
  </si>
  <si>
    <t>Authorization</t>
  </si>
  <si>
    <t>Eligibility</t>
  </si>
  <si>
    <t>Medical Necessity</t>
  </si>
  <si>
    <t>Documentation</t>
  </si>
  <si>
    <t>Timely Filing</t>
  </si>
  <si>
    <t>Denial Categories</t>
  </si>
  <si>
    <t>Section A</t>
  </si>
  <si>
    <t>Denial Amount</t>
  </si>
  <si>
    <t xml:space="preserve"> Pareto</t>
  </si>
  <si>
    <t>Section B</t>
  </si>
  <si>
    <t>Denial_Category</t>
  </si>
  <si>
    <t>Sum of Denial_Amount2</t>
  </si>
  <si>
    <t>Payer_Evidence</t>
  </si>
  <si>
    <t>Sum of Allowed_Amount</t>
  </si>
  <si>
    <t>Sum of Paid_Amount</t>
  </si>
  <si>
    <t>Aetna</t>
  </si>
  <si>
    <t>Bcbs</t>
  </si>
  <si>
    <t>Cigna</t>
  </si>
  <si>
    <t>Medicaid</t>
  </si>
  <si>
    <t>Medicare</t>
  </si>
  <si>
    <t>Unitedhealthcare</t>
  </si>
  <si>
    <t>Payer</t>
  </si>
  <si>
    <t>Claims ##</t>
  </si>
  <si>
    <t>Payer × Denial</t>
  </si>
  <si>
    <t>Top 10 combinations</t>
  </si>
  <si>
    <t>Trend_Evidence</t>
  </si>
  <si>
    <t>Service_Month</t>
  </si>
  <si>
    <t>Jan</t>
  </si>
  <si>
    <t>Feb</t>
  </si>
  <si>
    <t>Mar</t>
  </si>
  <si>
    <t>Apr</t>
  </si>
  <si>
    <t>May</t>
  </si>
  <si>
    <t>Jun</t>
  </si>
  <si>
    <t>Jul</t>
  </si>
  <si>
    <t>ID</t>
  </si>
  <si>
    <t>Business Question</t>
  </si>
  <si>
    <t>Analysis Used</t>
  </si>
  <si>
    <t>Finding</t>
  </si>
  <si>
    <t>Status</t>
  </si>
  <si>
    <t>BQ01</t>
  </si>
  <si>
    <t>Where is AR concentrated?</t>
  </si>
  <si>
    <t>Aging Analysis</t>
  </si>
  <si>
    <t>BQ02</t>
  </si>
  <si>
    <t>Which denial categories drive exposure?</t>
  </si>
  <si>
    <t>Denial Analysis</t>
  </si>
  <si>
    <t>BQ03</t>
  </si>
  <si>
    <t>Which payer/category combinations drive denial dollars?</t>
  </si>
  <si>
    <t>BQ04</t>
  </si>
  <si>
    <t>How does paid revenue change over time?</t>
  </si>
  <si>
    <t>Monthly Trend</t>
  </si>
  <si>
    <t>BQ05</t>
  </si>
  <si>
    <t>Which areas require prioritization?</t>
  </si>
  <si>
    <t>Combined Analysis</t>
  </si>
  <si>
    <t>Paid revenue increased from January through April, reaching the highest monthly value of approximately $616K in April. It then declined to approximately $498K in May, recovered in June, and declined slightly again in July.</t>
  </si>
  <si>
    <t>Outstanding AR is primarily concentrated in the 120+ aging bucket, which represents 32.46% of total outstanding AR.</t>
  </si>
  <si>
    <t>Coding, Authorization, Eligibility, and Medical Necessity collectively account for 76.63% of total denial dollars.</t>
  </si>
  <si>
    <t>Coding, Authorization, Eligibility, and Medical Necessity represent 76.63% of denial dollars and therefore form a major area for denial-management investigation. Adding Documentation brings the cumulative coverage to 90.81% of denial dollars, providing a broader prioritization scenario for investigation.</t>
  </si>
  <si>
    <t>v1.1</t>
  </si>
  <si>
    <t>Yes</t>
  </si>
  <si>
    <t>Done</t>
  </si>
  <si>
    <t>Payer-level denial composition shows distinct concentration patterns. UHC has 60.73% of its denied dollars concentrated in Authorization, Medical Necessity, and Eligibility, while Cigna and Aetna show their largest concentrations in Eligibility and Coding. Medicare and BCBS show notable Coding exposure, while Medicaid shows a higher concentration in Authorization.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</si>
</sst>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quot;M&quot;"/>
    <numFmt numFmtId="165" formatCode="[$$-409]#,##0.00_ ;[Red]\-[$$-409]#,##0.00\ "/>
  </numFmts>
  <fonts count="6" x14ac:knownFonts="1">
    <font>
      <sz val="10"/>
      <color theme="1"/>
      <name val="Calibri"/>
      <family val="2"/>
    </font>
    <font>
      <b/>
      <sz val="10"/>
      <color theme="1"/>
      <name val="Calibri"/>
      <family val="2"/>
    </font>
    <font>
      <b/>
      <sz val="11"/>
      <color theme="1"/>
      <name val="Aptos Narrow"/>
      <family val="2"/>
      <scheme val="minor"/>
    </font>
    <font>
      <b/>
      <sz val="12"/>
      <color theme="1"/>
      <name val="Calibri"/>
      <family val="2"/>
    </font>
    <font>
      <b/>
      <sz val="14"/>
      <color theme="1"/>
      <name val="Calibri"/>
      <family val="2"/>
    </font>
    <font>
      <sz val="11"/>
      <color theme="1"/>
      <name val="Aptos Narrow"/>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theme="9" tint="0.39997558519241921"/>
        <bgColor theme="4" tint="0.79998168889431442"/>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0" fillId="0" borderId="0" xfId="0" applyAlignment="1">
      <alignment vertical="center"/>
    </xf>
    <xf numFmtId="0" fontId="0" fillId="0" borderId="0" xfId="0"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xf>
    <xf numFmtId="164" fontId="0" fillId="0" borderId="1" xfId="0" applyNumberFormat="1" applyBorder="1" applyAlignment="1">
      <alignment horizontal="center"/>
    </xf>
    <xf numFmtId="10" fontId="0" fillId="0" borderId="1" xfId="0" applyNumberFormat="1" applyBorder="1" applyAlignment="1">
      <alignment horizontal="center"/>
    </xf>
    <xf numFmtId="165" fontId="0" fillId="0" borderId="1" xfId="0" applyNumberFormat="1" applyBorder="1" applyAlignment="1">
      <alignment horizontal="center" vertical="center"/>
    </xf>
    <xf numFmtId="10" fontId="0" fillId="0" borderId="1" xfId="0" applyNumberFormat="1" applyBorder="1" applyAlignment="1">
      <alignment horizontal="center" vertical="center"/>
    </xf>
    <xf numFmtId="165" fontId="1" fillId="2" borderId="1" xfId="0" applyNumberFormat="1" applyFont="1" applyFill="1" applyBorder="1" applyAlignment="1">
      <alignment horizontal="center" vertical="center"/>
    </xf>
    <xf numFmtId="10" fontId="1" fillId="2" borderId="1" xfId="0" applyNumberFormat="1" applyFont="1" applyFill="1" applyBorder="1" applyAlignment="1">
      <alignment horizontal="center" vertical="center"/>
    </xf>
    <xf numFmtId="165" fontId="1" fillId="0" borderId="1" xfId="0" applyNumberFormat="1" applyFont="1" applyBorder="1" applyAlignment="1">
      <alignment horizontal="center" vertical="center"/>
    </xf>
    <xf numFmtId="10" fontId="1" fillId="0" borderId="1" xfId="0" applyNumberFormat="1" applyFont="1" applyBorder="1" applyAlignment="1">
      <alignment horizontal="center" vertical="center"/>
    </xf>
    <xf numFmtId="165" fontId="0" fillId="0" borderId="1" xfId="0" applyNumberFormat="1" applyBorder="1" applyAlignment="1">
      <alignment horizontal="center"/>
    </xf>
    <xf numFmtId="0" fontId="1" fillId="2" borderId="1" xfId="0" applyFont="1" applyFill="1" applyBorder="1" applyAlignment="1">
      <alignment horizontal="center"/>
    </xf>
    <xf numFmtId="165" fontId="1" fillId="2" borderId="1" xfId="0" applyNumberFormat="1" applyFont="1" applyFill="1" applyBorder="1" applyAlignment="1">
      <alignment horizontal="center"/>
    </xf>
    <xf numFmtId="10" fontId="1" fillId="2" borderId="1" xfId="0" applyNumberFormat="1" applyFont="1" applyFill="1" applyBorder="1" applyAlignment="1">
      <alignment horizontal="center"/>
    </xf>
    <xf numFmtId="0" fontId="1" fillId="0" borderId="0" xfId="0" applyFont="1"/>
    <xf numFmtId="0" fontId="0" fillId="2" borderId="1" xfId="0" applyFill="1" applyBorder="1" applyAlignment="1">
      <alignment horizontal="center"/>
    </xf>
    <xf numFmtId="0" fontId="4" fillId="0" borderId="0" xfId="0" applyFont="1"/>
    <xf numFmtId="0" fontId="2" fillId="3" borderId="1" xfId="0" applyFont="1" applyFill="1" applyBorder="1" applyAlignment="1">
      <alignment horizontal="center" vertical="center"/>
    </xf>
    <xf numFmtId="0" fontId="2" fillId="0" borderId="1" xfId="0" applyFont="1" applyBorder="1" applyAlignment="1">
      <alignment horizontal="center" vertical="center"/>
    </xf>
    <xf numFmtId="165" fontId="2" fillId="3" borderId="1" xfId="0" applyNumberFormat="1" applyFont="1" applyFill="1" applyBorder="1" applyAlignment="1">
      <alignment horizontal="center" vertical="center"/>
    </xf>
    <xf numFmtId="10" fontId="2" fillId="3" borderId="1" xfId="0" applyNumberFormat="1" applyFont="1" applyFill="1" applyBorder="1" applyAlignment="1">
      <alignment horizontal="center" vertical="center"/>
    </xf>
    <xf numFmtId="165" fontId="5" fillId="0" borderId="1" xfId="0" applyNumberFormat="1" applyFont="1" applyBorder="1" applyAlignment="1">
      <alignment horizontal="center" vertical="center"/>
    </xf>
    <xf numFmtId="0" fontId="3" fillId="0" borderId="0" xfId="0" applyFont="1" applyAlignment="1">
      <alignment vertical="center"/>
    </xf>
    <xf numFmtId="0" fontId="4" fillId="0" borderId="0" xfId="0" applyFont="1" applyAlignment="1">
      <alignment vertical="center"/>
    </xf>
    <xf numFmtId="0" fontId="0" fillId="0" borderId="1" xfId="0" applyBorder="1" applyAlignment="1">
      <alignment horizontal="center" vertical="center" wrapText="1"/>
    </xf>
    <xf numFmtId="0" fontId="1" fillId="2" borderId="1" xfId="0" applyFont="1" applyFill="1" applyBorder="1" applyAlignment="1">
      <alignment horizontal="center" vertical="center"/>
    </xf>
    <xf numFmtId="14" fontId="0" fillId="0" borderId="1" xfId="0" applyNumberForma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110EE-5395-48E7-B5B4-4DF781090426}">
  <dimension ref="A1:B14"/>
  <sheetViews>
    <sheetView workbookViewId="0">
      <selection activeCell="A4" sqref="A4"/>
    </sheetView>
  </sheetViews>
  <sheetFormatPr defaultRowHeight="13.8" x14ac:dyDescent="0.3"/>
  <cols>
    <col min="1" max="1" width="18.5546875" bestFit="1" customWidth="1"/>
    <col min="2" max="2" width="34.77734375" bestFit="1" customWidth="1"/>
  </cols>
  <sheetData>
    <row r="1" spans="1:2" x14ac:dyDescent="0.3">
      <c r="A1" s="5" t="s">
        <v>0</v>
      </c>
      <c r="B1" s="5" t="s">
        <v>1</v>
      </c>
    </row>
    <row r="2" spans="1:2" x14ac:dyDescent="0.3">
      <c r="A2" s="4" t="s">
        <v>2</v>
      </c>
      <c r="B2" s="4" t="s">
        <v>3</v>
      </c>
    </row>
    <row r="3" spans="1:2" x14ac:dyDescent="0.3">
      <c r="A3" s="4" t="s">
        <v>4</v>
      </c>
      <c r="B3" s="4" t="s">
        <v>5</v>
      </c>
    </row>
    <row r="4" spans="1:2" x14ac:dyDescent="0.3">
      <c r="A4" s="4" t="s">
        <v>6</v>
      </c>
      <c r="B4" s="4" t="s">
        <v>7</v>
      </c>
    </row>
    <row r="5" spans="1:2" x14ac:dyDescent="0.3">
      <c r="A5" s="4" t="s">
        <v>8</v>
      </c>
      <c r="B5" s="4" t="s">
        <v>9</v>
      </c>
    </row>
    <row r="6" spans="1:2" x14ac:dyDescent="0.3">
      <c r="A6" s="4" t="s">
        <v>10</v>
      </c>
      <c r="B6" s="4" t="s">
        <v>11</v>
      </c>
    </row>
    <row r="7" spans="1:2" x14ac:dyDescent="0.3">
      <c r="A7" s="4" t="s">
        <v>12</v>
      </c>
      <c r="B7" s="4">
        <v>35</v>
      </c>
    </row>
    <row r="8" spans="1:2" x14ac:dyDescent="0.3">
      <c r="A8" s="4" t="s">
        <v>13</v>
      </c>
      <c r="B8" s="4" t="s">
        <v>14</v>
      </c>
    </row>
    <row r="9" spans="1:2" x14ac:dyDescent="0.3">
      <c r="A9" s="4" t="s">
        <v>15</v>
      </c>
      <c r="B9" s="4" t="s">
        <v>14</v>
      </c>
    </row>
    <row r="10" spans="1:2" x14ac:dyDescent="0.3">
      <c r="A10" s="4" t="s">
        <v>16</v>
      </c>
      <c r="B10" s="4" t="s">
        <v>17</v>
      </c>
    </row>
    <row r="11" spans="1:2" x14ac:dyDescent="0.3">
      <c r="A11" s="4" t="s">
        <v>18</v>
      </c>
      <c r="B11" s="4" t="s">
        <v>17</v>
      </c>
    </row>
    <row r="12" spans="1:2" x14ac:dyDescent="0.3">
      <c r="A12" s="4" t="s">
        <v>19</v>
      </c>
      <c r="B12" s="4" t="s">
        <v>17</v>
      </c>
    </row>
    <row r="13" spans="1:2" x14ac:dyDescent="0.3">
      <c r="A13" s="4" t="s">
        <v>20</v>
      </c>
      <c r="B13" s="4" t="s">
        <v>116</v>
      </c>
    </row>
    <row r="14" spans="1:2" x14ac:dyDescent="0.3">
      <c r="A14" s="4" t="s">
        <v>21</v>
      </c>
      <c r="B14" s="31">
        <v>46295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1ED64-941D-428E-80D6-D0C3D5CFAACA}">
  <dimension ref="A1:F7"/>
  <sheetViews>
    <sheetView workbookViewId="0">
      <selection activeCell="F7" sqref="F7"/>
    </sheetView>
  </sheetViews>
  <sheetFormatPr defaultRowHeight="13.8" x14ac:dyDescent="0.3"/>
  <cols>
    <col min="1" max="1" width="14.109375" bestFit="1" customWidth="1"/>
    <col min="2" max="2" width="15.21875" customWidth="1"/>
    <col min="3" max="3" width="11" customWidth="1"/>
    <col min="4" max="4" width="23.44140625" bestFit="1" customWidth="1"/>
    <col min="5" max="5" width="16.6640625" bestFit="1" customWidth="1"/>
    <col min="6" max="6" width="7.21875" bestFit="1" customWidth="1"/>
  </cols>
  <sheetData>
    <row r="1" spans="1:6" x14ac:dyDescent="0.3">
      <c r="A1" s="5" t="s">
        <v>22</v>
      </c>
      <c r="B1" s="5" t="s">
        <v>1</v>
      </c>
      <c r="C1" s="5" t="s">
        <v>23</v>
      </c>
      <c r="D1" s="5" t="s">
        <v>24</v>
      </c>
      <c r="E1" s="5" t="s">
        <v>25</v>
      </c>
      <c r="F1" s="5" t="s">
        <v>26</v>
      </c>
    </row>
    <row r="2" spans="1:6" x14ac:dyDescent="0.3">
      <c r="A2" s="4" t="s">
        <v>27</v>
      </c>
      <c r="B2" s="6">
        <v>3000</v>
      </c>
      <c r="C2" s="4" t="s">
        <v>28</v>
      </c>
      <c r="D2" s="4" t="s">
        <v>29</v>
      </c>
      <c r="E2" s="4" t="s">
        <v>30</v>
      </c>
      <c r="F2" s="4" t="s">
        <v>117</v>
      </c>
    </row>
    <row r="3" spans="1:6" x14ac:dyDescent="0.3">
      <c r="A3" s="4" t="s">
        <v>31</v>
      </c>
      <c r="B3" s="7">
        <v>5034573.5999999996</v>
      </c>
      <c r="C3" s="4" t="s">
        <v>32</v>
      </c>
      <c r="D3" s="4" t="s">
        <v>33</v>
      </c>
      <c r="E3" s="4" t="s">
        <v>30</v>
      </c>
      <c r="F3" s="4" t="s">
        <v>117</v>
      </c>
    </row>
    <row r="4" spans="1:6" x14ac:dyDescent="0.3">
      <c r="A4" s="4" t="s">
        <v>34</v>
      </c>
      <c r="B4" s="7">
        <v>3939008.19</v>
      </c>
      <c r="C4" s="4" t="s">
        <v>32</v>
      </c>
      <c r="D4" s="4" t="s">
        <v>35</v>
      </c>
      <c r="E4" s="4" t="s">
        <v>30</v>
      </c>
      <c r="F4" s="4" t="s">
        <v>117</v>
      </c>
    </row>
    <row r="5" spans="1:6" x14ac:dyDescent="0.3">
      <c r="A5" s="4" t="s">
        <v>36</v>
      </c>
      <c r="B5" s="7">
        <v>1095565.4099999999</v>
      </c>
      <c r="C5" s="4" t="s">
        <v>32</v>
      </c>
      <c r="D5" s="4" t="s">
        <v>37</v>
      </c>
      <c r="E5" s="4" t="s">
        <v>30</v>
      </c>
      <c r="F5" s="4" t="s">
        <v>117</v>
      </c>
    </row>
    <row r="6" spans="1:6" x14ac:dyDescent="0.3">
      <c r="A6" s="4" t="s">
        <v>38</v>
      </c>
      <c r="B6" s="8">
        <v>0.7823916190241017</v>
      </c>
      <c r="C6" s="4" t="s">
        <v>39</v>
      </c>
      <c r="D6" s="4" t="s">
        <v>40</v>
      </c>
      <c r="E6" s="4" t="s">
        <v>41</v>
      </c>
      <c r="F6" s="4" t="s">
        <v>117</v>
      </c>
    </row>
    <row r="7" spans="1:6" x14ac:dyDescent="0.3">
      <c r="A7" s="4" t="s">
        <v>42</v>
      </c>
      <c r="B7" s="8">
        <v>0.14966666666666667</v>
      </c>
      <c r="C7" s="4" t="s">
        <v>39</v>
      </c>
      <c r="D7" s="4" t="s">
        <v>43</v>
      </c>
      <c r="E7" s="4" t="s">
        <v>41</v>
      </c>
      <c r="F7" s="4" t="s">
        <v>117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E58B2-D474-4D6D-89F3-C2E734F9D4FD}">
  <dimension ref="A1:D7"/>
  <sheetViews>
    <sheetView workbookViewId="0">
      <selection activeCell="F4" sqref="F4"/>
    </sheetView>
  </sheetViews>
  <sheetFormatPr defaultRowHeight="13.8" x14ac:dyDescent="0.3"/>
  <cols>
    <col min="1" max="1" width="16.109375" bestFit="1" customWidth="1"/>
    <col min="2" max="2" width="15.21875" bestFit="1" customWidth="1"/>
    <col min="3" max="3" width="19.88671875" bestFit="1" customWidth="1"/>
    <col min="4" max="4" width="11.33203125" bestFit="1" customWidth="1"/>
  </cols>
  <sheetData>
    <row r="1" spans="1:4" x14ac:dyDescent="0.3">
      <c r="A1" s="5" t="s">
        <v>44</v>
      </c>
      <c r="B1" s="5" t="s">
        <v>28</v>
      </c>
      <c r="C1" s="5" t="s">
        <v>54</v>
      </c>
      <c r="D1" s="5" t="s">
        <v>47</v>
      </c>
    </row>
    <row r="2" spans="1:4" x14ac:dyDescent="0.3">
      <c r="A2" s="4" t="s">
        <v>48</v>
      </c>
      <c r="B2" s="4">
        <v>467</v>
      </c>
      <c r="C2" s="9">
        <v>180267.81</v>
      </c>
      <c r="D2" s="10">
        <v>0.16454317410404551</v>
      </c>
    </row>
    <row r="3" spans="1:4" x14ac:dyDescent="0.3">
      <c r="A3" s="4" t="s">
        <v>49</v>
      </c>
      <c r="B3" s="4">
        <v>528</v>
      </c>
      <c r="C3" s="9">
        <v>190027.02</v>
      </c>
      <c r="D3" s="10">
        <v>0.17345109499212832</v>
      </c>
    </row>
    <row r="4" spans="1:4" x14ac:dyDescent="0.3">
      <c r="A4" s="4" t="s">
        <v>50</v>
      </c>
      <c r="B4" s="4">
        <v>513</v>
      </c>
      <c r="C4" s="9">
        <v>179700.01</v>
      </c>
      <c r="D4" s="10">
        <v>0.16402490290378921</v>
      </c>
    </row>
    <row r="5" spans="1:4" x14ac:dyDescent="0.3">
      <c r="A5" s="4" t="s">
        <v>51</v>
      </c>
      <c r="B5" s="4">
        <v>531</v>
      </c>
      <c r="C5" s="9">
        <v>189981.04</v>
      </c>
      <c r="D5" s="10">
        <v>0.17340912579560178</v>
      </c>
    </row>
    <row r="6" spans="1:4" x14ac:dyDescent="0.3">
      <c r="A6" s="3" t="s">
        <v>52</v>
      </c>
      <c r="B6" s="3">
        <v>961</v>
      </c>
      <c r="C6" s="13">
        <v>355589.53</v>
      </c>
      <c r="D6" s="14">
        <v>0.32457170220443532</v>
      </c>
    </row>
    <row r="7" spans="1:4" x14ac:dyDescent="0.3">
      <c r="A7" s="5" t="s">
        <v>53</v>
      </c>
      <c r="B7" s="5">
        <v>3000</v>
      </c>
      <c r="C7" s="11">
        <v>1095565.4099999999</v>
      </c>
      <c r="D7" s="12">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5E1FD-B1D4-4FB2-AA11-FE0DA2122519}">
  <dimension ref="A2:D21"/>
  <sheetViews>
    <sheetView workbookViewId="0">
      <selection activeCell="C26" sqref="C26"/>
    </sheetView>
  </sheetViews>
  <sheetFormatPr defaultRowHeight="13.8" x14ac:dyDescent="0.3"/>
  <cols>
    <col min="1" max="1" width="15" bestFit="1" customWidth="1"/>
    <col min="2" max="2" width="19.109375" bestFit="1" customWidth="1"/>
    <col min="3" max="3" width="20.109375" bestFit="1" customWidth="1"/>
    <col min="4" max="4" width="20.88671875" bestFit="1" customWidth="1"/>
  </cols>
  <sheetData>
    <row r="2" spans="1:4" x14ac:dyDescent="0.3">
      <c r="A2" s="19" t="s">
        <v>65</v>
      </c>
      <c r="B2" s="19" t="s">
        <v>64</v>
      </c>
    </row>
    <row r="3" spans="1:4" x14ac:dyDescent="0.3">
      <c r="A3" s="16" t="s">
        <v>55</v>
      </c>
      <c r="B3" s="16" t="s">
        <v>28</v>
      </c>
      <c r="C3" s="16" t="s">
        <v>66</v>
      </c>
      <c r="D3" s="16" t="s">
        <v>57</v>
      </c>
    </row>
    <row r="4" spans="1:4" x14ac:dyDescent="0.3">
      <c r="A4" s="6" t="s">
        <v>58</v>
      </c>
      <c r="B4" s="6">
        <v>113</v>
      </c>
      <c r="C4" s="15">
        <v>116197.36</v>
      </c>
      <c r="D4" s="8">
        <v>0.23788174310517779</v>
      </c>
    </row>
    <row r="5" spans="1:4" x14ac:dyDescent="0.3">
      <c r="A5" s="6" t="s">
        <v>59</v>
      </c>
      <c r="B5" s="6">
        <v>82</v>
      </c>
      <c r="C5" s="15">
        <v>100424.71</v>
      </c>
      <c r="D5" s="8">
        <v>0.20559163362775179</v>
      </c>
    </row>
    <row r="6" spans="1:4" x14ac:dyDescent="0.3">
      <c r="A6" s="6" t="s">
        <v>60</v>
      </c>
      <c r="B6" s="6">
        <v>72</v>
      </c>
      <c r="C6" s="15">
        <v>86724.31</v>
      </c>
      <c r="D6" s="8">
        <v>0.17754387907258651</v>
      </c>
    </row>
    <row r="7" spans="1:4" x14ac:dyDescent="0.3">
      <c r="A7" s="6" t="s">
        <v>61</v>
      </c>
      <c r="B7" s="6">
        <v>76</v>
      </c>
      <c r="C7" s="15">
        <v>70962.33</v>
      </c>
      <c r="D7" s="8">
        <v>0.1452756134494351</v>
      </c>
    </row>
    <row r="8" spans="1:4" x14ac:dyDescent="0.3">
      <c r="A8" s="6" t="s">
        <v>62</v>
      </c>
      <c r="B8" s="6">
        <v>57</v>
      </c>
      <c r="C8" s="15">
        <v>69291.179999999993</v>
      </c>
      <c r="D8" s="8">
        <v>0.14185439910351347</v>
      </c>
    </row>
    <row r="9" spans="1:4" x14ac:dyDescent="0.3">
      <c r="A9" s="6" t="s">
        <v>63</v>
      </c>
      <c r="B9" s="6">
        <v>49</v>
      </c>
      <c r="C9" s="15">
        <v>44867.02</v>
      </c>
      <c r="D9" s="8">
        <v>9.1852731641535346E-2</v>
      </c>
    </row>
    <row r="10" spans="1:4" x14ac:dyDescent="0.3">
      <c r="A10" s="16" t="s">
        <v>53</v>
      </c>
      <c r="B10" s="16">
        <v>449</v>
      </c>
      <c r="C10" s="17">
        <v>488466.91</v>
      </c>
      <c r="D10" s="18">
        <v>1</v>
      </c>
    </row>
    <row r="12" spans="1:4" x14ac:dyDescent="0.3">
      <c r="A12" t="s">
        <v>68</v>
      </c>
      <c r="B12" t="s">
        <v>67</v>
      </c>
    </row>
    <row r="14" spans="1:4" x14ac:dyDescent="0.3">
      <c r="A14" s="16" t="s">
        <v>69</v>
      </c>
      <c r="B14" s="16" t="s">
        <v>56</v>
      </c>
      <c r="C14" s="16" t="s">
        <v>70</v>
      </c>
    </row>
    <row r="15" spans="1:4" x14ac:dyDescent="0.3">
      <c r="A15" s="6" t="s">
        <v>58</v>
      </c>
      <c r="B15" s="15">
        <v>116197.36</v>
      </c>
      <c r="C15" s="8">
        <v>0.23788174310517779</v>
      </c>
    </row>
    <row r="16" spans="1:4" x14ac:dyDescent="0.3">
      <c r="A16" s="6" t="s">
        <v>59</v>
      </c>
      <c r="B16" s="15">
        <v>100424.71</v>
      </c>
      <c r="C16" s="8">
        <v>0.44347337673292958</v>
      </c>
    </row>
    <row r="17" spans="1:3" x14ac:dyDescent="0.3">
      <c r="A17" s="6" t="s">
        <v>60</v>
      </c>
      <c r="B17" s="15">
        <v>86724.31</v>
      </c>
      <c r="C17" s="8">
        <v>0.62101725580551614</v>
      </c>
    </row>
    <row r="18" spans="1:3" x14ac:dyDescent="0.3">
      <c r="A18" s="6" t="s">
        <v>61</v>
      </c>
      <c r="B18" s="15">
        <v>70962.33</v>
      </c>
      <c r="C18" s="8">
        <v>0.76629286925495121</v>
      </c>
    </row>
    <row r="19" spans="1:3" x14ac:dyDescent="0.3">
      <c r="A19" s="6" t="s">
        <v>62</v>
      </c>
      <c r="B19" s="15">
        <v>69291.179999999993</v>
      </c>
      <c r="C19" s="8">
        <v>0.90814726835846471</v>
      </c>
    </row>
    <row r="20" spans="1:3" x14ac:dyDescent="0.3">
      <c r="A20" s="6" t="s">
        <v>63</v>
      </c>
      <c r="B20" s="15">
        <v>44867.02</v>
      </c>
      <c r="C20" s="8">
        <v>1.0000000000000002</v>
      </c>
    </row>
    <row r="21" spans="1:3" x14ac:dyDescent="0.3">
      <c r="A21" s="16" t="s">
        <v>53</v>
      </c>
      <c r="B21" s="17">
        <v>488466.91</v>
      </c>
      <c r="C21" s="2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1E74A-B7B9-4212-8B69-AC270074AD0A}">
  <dimension ref="A1:G65"/>
  <sheetViews>
    <sheetView topLeftCell="A35" workbookViewId="0">
      <selection activeCell="E44" sqref="E44:E46"/>
    </sheetView>
  </sheetViews>
  <sheetFormatPr defaultRowHeight="13.8" x14ac:dyDescent="0.3"/>
  <cols>
    <col min="1" max="1" width="18" bestFit="1" customWidth="1"/>
    <col min="2" max="2" width="15.21875" bestFit="1" customWidth="1"/>
    <col min="3" max="3" width="20.5546875" bestFit="1" customWidth="1"/>
    <col min="4" max="5" width="21.6640625" bestFit="1" customWidth="1"/>
    <col min="6" max="7" width="12" bestFit="1" customWidth="1"/>
  </cols>
  <sheetData>
    <row r="1" spans="1:7" ht="18" x14ac:dyDescent="0.35">
      <c r="A1" s="21" t="s">
        <v>71</v>
      </c>
      <c r="B1" s="2"/>
      <c r="C1" s="2"/>
      <c r="D1" s="2"/>
      <c r="E1" s="2"/>
      <c r="F1" s="2"/>
      <c r="G1" s="2"/>
    </row>
    <row r="2" spans="1:7" x14ac:dyDescent="0.3">
      <c r="A2" s="5" t="s">
        <v>55</v>
      </c>
      <c r="B2" s="5" t="s">
        <v>45</v>
      </c>
      <c r="C2" s="5" t="s">
        <v>72</v>
      </c>
      <c r="D2" s="5" t="s">
        <v>73</v>
      </c>
      <c r="E2" s="5" t="s">
        <v>46</v>
      </c>
      <c r="F2" s="5" t="s">
        <v>38</v>
      </c>
      <c r="G2" s="5" t="s">
        <v>42</v>
      </c>
    </row>
    <row r="3" spans="1:7" x14ac:dyDescent="0.3">
      <c r="A3" s="4" t="s">
        <v>74</v>
      </c>
      <c r="B3" s="4">
        <v>488</v>
      </c>
      <c r="C3" s="9">
        <v>832845.36</v>
      </c>
      <c r="D3" s="9">
        <v>640998.49</v>
      </c>
      <c r="E3" s="9">
        <v>191846.87</v>
      </c>
      <c r="F3" s="10">
        <v>0.76964886974936142</v>
      </c>
      <c r="G3" s="10">
        <v>0.14754098360655737</v>
      </c>
    </row>
    <row r="4" spans="1:7" x14ac:dyDescent="0.3">
      <c r="A4" s="4" t="s">
        <v>75</v>
      </c>
      <c r="B4" s="4">
        <v>630</v>
      </c>
      <c r="C4" s="9">
        <v>1036694.65</v>
      </c>
      <c r="D4" s="9">
        <v>823600.28</v>
      </c>
      <c r="E4" s="9">
        <v>213094.37</v>
      </c>
      <c r="F4" s="10">
        <v>0.79444827847814203</v>
      </c>
      <c r="G4" s="10">
        <v>0.13492063492063491</v>
      </c>
    </row>
    <row r="5" spans="1:7" x14ac:dyDescent="0.3">
      <c r="A5" s="4" t="s">
        <v>76</v>
      </c>
      <c r="B5" s="4">
        <v>414</v>
      </c>
      <c r="C5" s="9">
        <v>697306.93</v>
      </c>
      <c r="D5" s="9">
        <v>548063.72</v>
      </c>
      <c r="E5" s="9">
        <v>149243.21</v>
      </c>
      <c r="F5" s="10">
        <v>0.78597199657832162</v>
      </c>
      <c r="G5" s="10">
        <v>0.17391304347826086</v>
      </c>
    </row>
    <row r="6" spans="1:7" x14ac:dyDescent="0.3">
      <c r="A6" s="4" t="s">
        <v>77</v>
      </c>
      <c r="B6" s="4">
        <v>390</v>
      </c>
      <c r="C6" s="9">
        <v>645715.98</v>
      </c>
      <c r="D6" s="9">
        <v>501732.21</v>
      </c>
      <c r="E6" s="9">
        <v>143983.76999999999</v>
      </c>
      <c r="F6" s="10">
        <v>0.77701687048228241</v>
      </c>
      <c r="G6" s="10">
        <v>0.1641025641025641</v>
      </c>
    </row>
    <row r="7" spans="1:7" x14ac:dyDescent="0.3">
      <c r="A7" s="4" t="s">
        <v>78</v>
      </c>
      <c r="B7" s="4">
        <v>522</v>
      </c>
      <c r="C7" s="9">
        <v>876268.84</v>
      </c>
      <c r="D7" s="9">
        <v>710950.53</v>
      </c>
      <c r="E7" s="9">
        <v>165318.31</v>
      </c>
      <c r="F7" s="10">
        <v>0.81133836734397635</v>
      </c>
      <c r="G7" s="10">
        <v>0.10344827586206896</v>
      </c>
    </row>
    <row r="8" spans="1:7" x14ac:dyDescent="0.3">
      <c r="A8" s="4" t="s">
        <v>79</v>
      </c>
      <c r="B8" s="4">
        <v>556</v>
      </c>
      <c r="C8" s="9">
        <v>945741.84</v>
      </c>
      <c r="D8" s="9">
        <v>713662.96</v>
      </c>
      <c r="E8" s="9">
        <v>232078.88</v>
      </c>
      <c r="F8" s="10">
        <v>0.75460652137373974</v>
      </c>
      <c r="G8" s="10">
        <v>0.18345323741007194</v>
      </c>
    </row>
    <row r="9" spans="1:7" x14ac:dyDescent="0.3">
      <c r="A9" s="5" t="s">
        <v>53</v>
      </c>
      <c r="B9" s="5">
        <v>3000</v>
      </c>
      <c r="C9" s="11">
        <v>5034573.5999999996</v>
      </c>
      <c r="D9" s="11">
        <v>3939008.19</v>
      </c>
      <c r="E9" s="11">
        <v>1095565.4099999999</v>
      </c>
      <c r="F9" s="12">
        <v>0.7823916190241017</v>
      </c>
      <c r="G9" s="12">
        <v>0.14966666666666667</v>
      </c>
    </row>
    <row r="12" spans="1:7" ht="18" x14ac:dyDescent="0.3">
      <c r="A12" s="28" t="s">
        <v>82</v>
      </c>
    </row>
    <row r="13" spans="1:7" ht="14.4" x14ac:dyDescent="0.3">
      <c r="A13" s="22" t="s">
        <v>80</v>
      </c>
      <c r="B13" s="22" t="s">
        <v>69</v>
      </c>
      <c r="C13" s="22" t="s">
        <v>81</v>
      </c>
      <c r="D13" s="22" t="s">
        <v>66</v>
      </c>
      <c r="E13" s="22" t="s">
        <v>57</v>
      </c>
    </row>
    <row r="14" spans="1:7" ht="14.4" x14ac:dyDescent="0.3">
      <c r="A14" s="23" t="s">
        <v>74</v>
      </c>
      <c r="B14" s="4" t="s">
        <v>60</v>
      </c>
      <c r="C14" s="4">
        <v>15</v>
      </c>
      <c r="D14" s="9">
        <v>19705.61</v>
      </c>
      <c r="E14" s="10">
        <v>0.24741167438090927</v>
      </c>
    </row>
    <row r="15" spans="1:7" ht="14.4" x14ac:dyDescent="0.3">
      <c r="A15" s="23" t="s">
        <v>74</v>
      </c>
      <c r="B15" s="4" t="s">
        <v>58</v>
      </c>
      <c r="C15" s="4">
        <v>18</v>
      </c>
      <c r="D15" s="9">
        <v>18419.96</v>
      </c>
      <c r="E15" s="10">
        <v>0.23126983359710118</v>
      </c>
    </row>
    <row r="16" spans="1:7" ht="14.4" x14ac:dyDescent="0.3">
      <c r="A16" s="23" t="s">
        <v>74</v>
      </c>
      <c r="B16" s="4" t="s">
        <v>59</v>
      </c>
      <c r="C16" s="4">
        <v>14</v>
      </c>
      <c r="D16" s="9">
        <v>14788.51</v>
      </c>
      <c r="E16" s="10">
        <v>0.18567555232742455</v>
      </c>
    </row>
    <row r="17" spans="1:5" ht="14.4" x14ac:dyDescent="0.3">
      <c r="A17" s="23" t="s">
        <v>74</v>
      </c>
      <c r="B17" s="4" t="s">
        <v>62</v>
      </c>
      <c r="C17" s="4">
        <v>9</v>
      </c>
      <c r="D17" s="9">
        <v>10717.23</v>
      </c>
      <c r="E17" s="10">
        <v>0.13455903263209371</v>
      </c>
    </row>
    <row r="18" spans="1:5" ht="14.4" x14ac:dyDescent="0.3">
      <c r="A18" s="23" t="s">
        <v>74</v>
      </c>
      <c r="B18" s="4" t="s">
        <v>61</v>
      </c>
      <c r="C18" s="4">
        <v>9</v>
      </c>
      <c r="D18" s="9">
        <v>9057.14</v>
      </c>
      <c r="E18" s="10">
        <v>0.11371595055937413</v>
      </c>
    </row>
    <row r="19" spans="1:5" ht="14.4" x14ac:dyDescent="0.3">
      <c r="A19" s="23" t="s">
        <v>74</v>
      </c>
      <c r="B19" s="4" t="s">
        <v>63</v>
      </c>
      <c r="C19" s="4">
        <v>7</v>
      </c>
      <c r="D19" s="9">
        <v>6958.6</v>
      </c>
      <c r="E19" s="10">
        <v>8.7367956503097102E-2</v>
      </c>
    </row>
    <row r="20" spans="1:5" ht="14.4" x14ac:dyDescent="0.3">
      <c r="A20" s="23" t="s">
        <v>75</v>
      </c>
      <c r="B20" s="4" t="s">
        <v>58</v>
      </c>
      <c r="C20" s="4">
        <v>21</v>
      </c>
      <c r="D20" s="9">
        <v>20719.98</v>
      </c>
      <c r="E20" s="10">
        <v>0.24165211834760641</v>
      </c>
    </row>
    <row r="21" spans="1:5" ht="14.4" x14ac:dyDescent="0.3">
      <c r="A21" s="23" t="s">
        <v>75</v>
      </c>
      <c r="B21" s="4" t="s">
        <v>61</v>
      </c>
      <c r="C21" s="4">
        <v>22</v>
      </c>
      <c r="D21" s="9">
        <v>17374.8</v>
      </c>
      <c r="E21" s="10">
        <v>0.20263809259786891</v>
      </c>
    </row>
    <row r="22" spans="1:5" ht="14.4" x14ac:dyDescent="0.3">
      <c r="A22" s="23" t="s">
        <v>75</v>
      </c>
      <c r="B22" s="4" t="s">
        <v>60</v>
      </c>
      <c r="C22" s="4">
        <v>10</v>
      </c>
      <c r="D22" s="9">
        <v>16353.49</v>
      </c>
      <c r="E22" s="10">
        <v>0.1907268009368927</v>
      </c>
    </row>
    <row r="23" spans="1:5" ht="14.4" x14ac:dyDescent="0.3">
      <c r="A23" s="23" t="s">
        <v>75</v>
      </c>
      <c r="B23" s="4" t="s">
        <v>59</v>
      </c>
      <c r="C23" s="4">
        <v>13</v>
      </c>
      <c r="D23" s="9">
        <v>12223.59</v>
      </c>
      <c r="E23" s="10">
        <v>0.14256077550811433</v>
      </c>
    </row>
    <row r="24" spans="1:5" ht="14.4" x14ac:dyDescent="0.3">
      <c r="A24" s="23" t="s">
        <v>75</v>
      </c>
      <c r="B24" s="4" t="s">
        <v>62</v>
      </c>
      <c r="C24" s="4">
        <v>10</v>
      </c>
      <c r="D24" s="9">
        <v>11620.86</v>
      </c>
      <c r="E24" s="10">
        <v>0.13553128120881225</v>
      </c>
    </row>
    <row r="25" spans="1:5" ht="14.4" x14ac:dyDescent="0.3">
      <c r="A25" s="23" t="s">
        <v>75</v>
      </c>
      <c r="B25" s="4" t="s">
        <v>63</v>
      </c>
      <c r="C25" s="4">
        <v>9</v>
      </c>
      <c r="D25" s="9">
        <v>7450.29</v>
      </c>
      <c r="E25" s="10">
        <v>8.6890931400705432E-2</v>
      </c>
    </row>
    <row r="26" spans="1:5" ht="14.4" x14ac:dyDescent="0.3">
      <c r="A26" s="23" t="s">
        <v>76</v>
      </c>
      <c r="B26" s="4" t="s">
        <v>58</v>
      </c>
      <c r="C26" s="4">
        <v>20</v>
      </c>
      <c r="D26" s="9">
        <v>22985.919999999998</v>
      </c>
      <c r="E26" s="10">
        <v>0.31473226235995244</v>
      </c>
    </row>
    <row r="27" spans="1:5" ht="14.4" x14ac:dyDescent="0.3">
      <c r="A27" s="23" t="s">
        <v>76</v>
      </c>
      <c r="B27" s="4" t="s">
        <v>59</v>
      </c>
      <c r="C27" s="4">
        <v>16</v>
      </c>
      <c r="D27" s="9">
        <v>18062.64</v>
      </c>
      <c r="E27" s="10">
        <v>0.24732077512639791</v>
      </c>
    </row>
    <row r="28" spans="1:5" ht="14.4" x14ac:dyDescent="0.3">
      <c r="A28" s="23" t="s">
        <v>76</v>
      </c>
      <c r="B28" s="4" t="s">
        <v>60</v>
      </c>
      <c r="C28" s="4">
        <v>11</v>
      </c>
      <c r="D28" s="9">
        <v>11687.02</v>
      </c>
      <c r="E28" s="10">
        <v>0.16002327706900624</v>
      </c>
    </row>
    <row r="29" spans="1:5" ht="14.4" x14ac:dyDescent="0.3">
      <c r="A29" s="23" t="s">
        <v>76</v>
      </c>
      <c r="B29" s="4" t="s">
        <v>62</v>
      </c>
      <c r="C29" s="4">
        <v>7</v>
      </c>
      <c r="D29" s="9">
        <v>6950.29</v>
      </c>
      <c r="E29" s="10">
        <v>9.5166105849048208E-2</v>
      </c>
    </row>
    <row r="30" spans="1:5" ht="14.4" x14ac:dyDescent="0.3">
      <c r="A30" s="23" t="s">
        <v>76</v>
      </c>
      <c r="B30" s="4" t="s">
        <v>63</v>
      </c>
      <c r="C30" s="4">
        <v>8</v>
      </c>
      <c r="D30" s="9">
        <v>6707.75</v>
      </c>
      <c r="E30" s="10">
        <v>9.1845152721534373E-2</v>
      </c>
    </row>
    <row r="31" spans="1:5" ht="14.4" x14ac:dyDescent="0.3">
      <c r="A31" s="23" t="s">
        <v>76</v>
      </c>
      <c r="B31" s="4" t="s">
        <v>61</v>
      </c>
      <c r="C31" s="4">
        <v>10</v>
      </c>
      <c r="D31" s="9">
        <v>6639.63</v>
      </c>
      <c r="E31" s="10">
        <v>9.0912426874060787E-2</v>
      </c>
    </row>
    <row r="32" spans="1:5" ht="14.4" x14ac:dyDescent="0.3">
      <c r="A32" s="23" t="s">
        <v>77</v>
      </c>
      <c r="B32" s="4" t="s">
        <v>59</v>
      </c>
      <c r="C32" s="4">
        <v>13</v>
      </c>
      <c r="D32" s="9">
        <v>18713.669999999998</v>
      </c>
      <c r="E32" s="10">
        <v>0.28113120273366382</v>
      </c>
    </row>
    <row r="33" spans="1:5" ht="14.4" x14ac:dyDescent="0.3">
      <c r="A33" s="23" t="s">
        <v>77</v>
      </c>
      <c r="B33" s="4" t="s">
        <v>60</v>
      </c>
      <c r="C33" s="4">
        <v>13</v>
      </c>
      <c r="D33" s="9">
        <v>12526.17</v>
      </c>
      <c r="E33" s="10">
        <v>0.18817779931709483</v>
      </c>
    </row>
    <row r="34" spans="1:5" ht="14.4" x14ac:dyDescent="0.3">
      <c r="A34" s="23" t="s">
        <v>77</v>
      </c>
      <c r="B34" s="4" t="s">
        <v>58</v>
      </c>
      <c r="C34" s="4">
        <v>15</v>
      </c>
      <c r="D34" s="9">
        <v>12042.19</v>
      </c>
      <c r="E34" s="10">
        <v>0.18090707799417749</v>
      </c>
    </row>
    <row r="35" spans="1:5" ht="14.4" x14ac:dyDescent="0.3">
      <c r="A35" s="23" t="s">
        <v>77</v>
      </c>
      <c r="B35" s="4" t="s">
        <v>62</v>
      </c>
      <c r="C35" s="4">
        <v>10</v>
      </c>
      <c r="D35" s="9">
        <v>9962.39</v>
      </c>
      <c r="E35" s="10">
        <v>0.1496627162283948</v>
      </c>
    </row>
    <row r="36" spans="1:5" ht="14.4" x14ac:dyDescent="0.3">
      <c r="A36" s="23" t="s">
        <v>77</v>
      </c>
      <c r="B36" s="4" t="s">
        <v>61</v>
      </c>
      <c r="C36" s="4">
        <v>7</v>
      </c>
      <c r="D36" s="9">
        <v>7155.32</v>
      </c>
      <c r="E36" s="10">
        <v>0.10749274287428598</v>
      </c>
    </row>
    <row r="37" spans="1:5" ht="14.4" x14ac:dyDescent="0.3">
      <c r="A37" s="23" t="s">
        <v>77</v>
      </c>
      <c r="B37" s="4" t="s">
        <v>63</v>
      </c>
      <c r="C37" s="4">
        <v>6</v>
      </c>
      <c r="D37" s="9">
        <v>6165.87</v>
      </c>
      <c r="E37" s="10">
        <v>9.2628460852383077E-2</v>
      </c>
    </row>
    <row r="38" spans="1:5" ht="14.4" x14ac:dyDescent="0.3">
      <c r="A38" s="23" t="s">
        <v>78</v>
      </c>
      <c r="B38" s="4" t="s">
        <v>58</v>
      </c>
      <c r="C38" s="4">
        <v>17</v>
      </c>
      <c r="D38" s="9">
        <v>21583.22</v>
      </c>
      <c r="E38" s="10">
        <v>0.31249585548687209</v>
      </c>
    </row>
    <row r="39" spans="1:5" ht="14.4" x14ac:dyDescent="0.3">
      <c r="A39" s="23" t="s">
        <v>78</v>
      </c>
      <c r="B39" s="4" t="s">
        <v>62</v>
      </c>
      <c r="C39" s="4">
        <v>8</v>
      </c>
      <c r="D39" s="9">
        <v>16517.88</v>
      </c>
      <c r="E39" s="10">
        <v>0.23915657818571531</v>
      </c>
    </row>
    <row r="40" spans="1:5" ht="14.4" x14ac:dyDescent="0.3">
      <c r="A40" s="23" t="s">
        <v>78</v>
      </c>
      <c r="B40" s="4" t="s">
        <v>59</v>
      </c>
      <c r="C40" s="4">
        <v>10</v>
      </c>
      <c r="D40" s="9">
        <v>12110.23</v>
      </c>
      <c r="E40" s="10">
        <v>0.17533976320459979</v>
      </c>
    </row>
    <row r="41" spans="1:5" ht="14.4" x14ac:dyDescent="0.3">
      <c r="A41" s="23" t="s">
        <v>78</v>
      </c>
      <c r="B41" s="4" t="s">
        <v>61</v>
      </c>
      <c r="C41" s="4">
        <v>7</v>
      </c>
      <c r="D41" s="9">
        <v>7486.65</v>
      </c>
      <c r="E41" s="10">
        <v>0.10839657365679406</v>
      </c>
    </row>
    <row r="42" spans="1:5" ht="14.4" x14ac:dyDescent="0.3">
      <c r="A42" s="23" t="s">
        <v>78</v>
      </c>
      <c r="B42" s="4" t="s">
        <v>63</v>
      </c>
      <c r="C42" s="4">
        <v>6</v>
      </c>
      <c r="D42" s="9">
        <v>6620.14</v>
      </c>
      <c r="E42" s="10">
        <v>9.5850679960768653E-2</v>
      </c>
    </row>
    <row r="43" spans="1:5" ht="14.4" x14ac:dyDescent="0.3">
      <c r="A43" s="23" t="s">
        <v>78</v>
      </c>
      <c r="B43" s="4" t="s">
        <v>60</v>
      </c>
      <c r="C43" s="4">
        <v>6</v>
      </c>
      <c r="D43" s="9">
        <v>4749.1000000000004</v>
      </c>
      <c r="E43" s="10">
        <v>6.876054950525011E-2</v>
      </c>
    </row>
    <row r="44" spans="1:5" ht="14.4" x14ac:dyDescent="0.3">
      <c r="A44" s="23" t="s">
        <v>79</v>
      </c>
      <c r="B44" s="4" t="s">
        <v>59</v>
      </c>
      <c r="C44" s="4">
        <v>16</v>
      </c>
      <c r="D44" s="9">
        <v>24526.07</v>
      </c>
      <c r="E44" s="10">
        <v>0.21436854240208328</v>
      </c>
    </row>
    <row r="45" spans="1:5" ht="14.4" x14ac:dyDescent="0.3">
      <c r="A45" s="23" t="s">
        <v>79</v>
      </c>
      <c r="B45" s="4" t="s">
        <v>61</v>
      </c>
      <c r="C45" s="4">
        <v>21</v>
      </c>
      <c r="D45" s="9">
        <v>23248.79</v>
      </c>
      <c r="E45" s="10">
        <v>0.20320455845197091</v>
      </c>
    </row>
    <row r="46" spans="1:5" ht="14.4" x14ac:dyDescent="0.3">
      <c r="A46" s="23" t="s">
        <v>79</v>
      </c>
      <c r="B46" s="4" t="s">
        <v>60</v>
      </c>
      <c r="C46" s="4">
        <v>17</v>
      </c>
      <c r="D46" s="9">
        <v>21702.92</v>
      </c>
      <c r="E46" s="10">
        <v>0.1896929808268924</v>
      </c>
    </row>
    <row r="47" spans="1:5" ht="14.4" x14ac:dyDescent="0.3">
      <c r="A47" s="23" t="s">
        <v>79</v>
      </c>
      <c r="B47" s="4" t="s">
        <v>58</v>
      </c>
      <c r="C47" s="4">
        <v>22</v>
      </c>
      <c r="D47" s="9">
        <v>20446.09</v>
      </c>
      <c r="E47" s="10">
        <v>0.17870773879067503</v>
      </c>
    </row>
    <row r="48" spans="1:5" ht="14.4" x14ac:dyDescent="0.3">
      <c r="A48" s="23" t="s">
        <v>79</v>
      </c>
      <c r="B48" s="4" t="s">
        <v>62</v>
      </c>
      <c r="C48" s="4">
        <v>13</v>
      </c>
      <c r="D48" s="9">
        <v>13522.53</v>
      </c>
      <c r="E48" s="10">
        <v>0.11819280649889866</v>
      </c>
    </row>
    <row r="49" spans="1:5" ht="14.4" x14ac:dyDescent="0.3">
      <c r="A49" s="23" t="s">
        <v>79</v>
      </c>
      <c r="B49" s="4" t="s">
        <v>63</v>
      </c>
      <c r="C49" s="4">
        <v>13</v>
      </c>
      <c r="D49" s="9">
        <v>10964.37</v>
      </c>
      <c r="E49" s="10">
        <v>9.5833373029479654E-2</v>
      </c>
    </row>
    <row r="50" spans="1:5" ht="14.4" x14ac:dyDescent="0.3">
      <c r="A50" s="22" t="s">
        <v>53</v>
      </c>
      <c r="B50" s="22"/>
      <c r="C50" s="22">
        <v>449</v>
      </c>
      <c r="D50" s="24">
        <v>488466.91</v>
      </c>
      <c r="E50" s="25">
        <v>1</v>
      </c>
    </row>
    <row r="53" spans="1:5" ht="15.6" x14ac:dyDescent="0.3">
      <c r="A53" s="27" t="s">
        <v>83</v>
      </c>
      <c r="B53" s="1"/>
      <c r="C53" s="1"/>
      <c r="D53" s="1"/>
    </row>
    <row r="54" spans="1:5" ht="14.4" x14ac:dyDescent="0.3">
      <c r="A54" s="22" t="s">
        <v>80</v>
      </c>
      <c r="B54" s="22" t="s">
        <v>69</v>
      </c>
      <c r="C54" s="22" t="s">
        <v>56</v>
      </c>
      <c r="D54" s="22" t="s">
        <v>57</v>
      </c>
    </row>
    <row r="55" spans="1:5" x14ac:dyDescent="0.3">
      <c r="A55" s="3" t="s">
        <v>79</v>
      </c>
      <c r="B55" s="4" t="s">
        <v>59</v>
      </c>
      <c r="C55" s="9">
        <v>24526.07</v>
      </c>
      <c r="D55" s="10" cm="1">
        <f t="array" ref="D55">_xlfn.XLOOKUP(1, (A$14:A$49=A55) * (B$14:B$49=B55), E$14:E$49,"Not Found")</f>
        <v>0.21436854240208328</v>
      </c>
    </row>
    <row r="56" spans="1:5" x14ac:dyDescent="0.3">
      <c r="A56" s="3" t="s">
        <v>79</v>
      </c>
      <c r="B56" s="4" t="s">
        <v>61</v>
      </c>
      <c r="C56" s="9">
        <v>23248.790000000005</v>
      </c>
      <c r="D56" s="10" cm="1">
        <f t="array" ref="D56">_xlfn.XLOOKUP(1, (A$14:A$49=A56) * (B$14:B$49=B56), E$14:E$49,"Not Found")</f>
        <v>0.20320455845197091</v>
      </c>
    </row>
    <row r="57" spans="1:5" x14ac:dyDescent="0.3">
      <c r="A57" s="3" t="s">
        <v>76</v>
      </c>
      <c r="B57" s="4" t="s">
        <v>58</v>
      </c>
      <c r="C57" s="9">
        <v>22985.920000000006</v>
      </c>
      <c r="D57" s="10" cm="1">
        <f t="array" ref="D57">_xlfn.XLOOKUP(1, (A$14:A$49=A57) * (B$14:B$49=B57), E$14:E$49,"Not Found")</f>
        <v>0.31473226235995244</v>
      </c>
    </row>
    <row r="58" spans="1:5" ht="14.4" x14ac:dyDescent="0.3">
      <c r="A58" s="3" t="s">
        <v>79</v>
      </c>
      <c r="B58" s="4" t="s">
        <v>60</v>
      </c>
      <c r="C58" s="26">
        <v>21702.92</v>
      </c>
      <c r="D58" s="10" cm="1">
        <f t="array" ref="D58">_xlfn.XLOOKUP(1, (A$14:A$49=A58) * (B$14:B$49=B58), E$14:E$49,"Not Found")</f>
        <v>0.1896929808268924</v>
      </c>
    </row>
    <row r="59" spans="1:5" x14ac:dyDescent="0.3">
      <c r="A59" s="3" t="s">
        <v>78</v>
      </c>
      <c r="B59" s="4" t="s">
        <v>58</v>
      </c>
      <c r="C59" s="9">
        <v>21583.22</v>
      </c>
      <c r="D59" s="10" cm="1">
        <f t="array" ref="D59">_xlfn.XLOOKUP(1, (A$14:A$49=A59) * (B$14:B$49=B59), E$14:E$49,"Not Found")</f>
        <v>0.31249585548687209</v>
      </c>
    </row>
    <row r="60" spans="1:5" x14ac:dyDescent="0.3">
      <c r="A60" s="3" t="s">
        <v>75</v>
      </c>
      <c r="B60" s="4" t="s">
        <v>58</v>
      </c>
      <c r="C60" s="9">
        <v>20719.980000000003</v>
      </c>
      <c r="D60" s="10" cm="1">
        <f t="array" ref="D60">_xlfn.XLOOKUP(1, (A$14:A$49=A60) * (B$14:B$49=B60), E$14:E$49,"Not Found")</f>
        <v>0.24165211834760641</v>
      </c>
    </row>
    <row r="61" spans="1:5" x14ac:dyDescent="0.3">
      <c r="A61" s="3" t="s">
        <v>79</v>
      </c>
      <c r="B61" s="4" t="s">
        <v>58</v>
      </c>
      <c r="C61" s="9">
        <v>20446.09</v>
      </c>
      <c r="D61" s="10" cm="1">
        <f t="array" ref="D61">_xlfn.XLOOKUP(1, (A$14:A$49=A61) * (B$14:B$49=B61), E$14:E$49,"Not Found")</f>
        <v>0.17870773879067503</v>
      </c>
    </row>
    <row r="62" spans="1:5" x14ac:dyDescent="0.3">
      <c r="A62" s="3" t="s">
        <v>74</v>
      </c>
      <c r="B62" s="4" t="s">
        <v>60</v>
      </c>
      <c r="C62" s="9">
        <v>19705.61</v>
      </c>
      <c r="D62" s="10" cm="1">
        <f t="array" ref="D62">_xlfn.XLOOKUP(1, (A$14:A$49=A62) * (B$14:B$49=B62), E$14:E$49,"Not Found")</f>
        <v>0.24741167438090927</v>
      </c>
    </row>
    <row r="63" spans="1:5" x14ac:dyDescent="0.3">
      <c r="A63" s="3" t="s">
        <v>77</v>
      </c>
      <c r="B63" s="4" t="s">
        <v>59</v>
      </c>
      <c r="C63" s="9">
        <v>18713.669999999998</v>
      </c>
      <c r="D63" s="10" cm="1">
        <f t="array" ref="D63">_xlfn.XLOOKUP(1, (A$14:A$49=A63) * (B$14:B$49=B63), E$14:E$49,"Not Found")</f>
        <v>0.28113120273366382</v>
      </c>
    </row>
    <row r="64" spans="1:5" x14ac:dyDescent="0.3">
      <c r="A64" s="3" t="s">
        <v>74</v>
      </c>
      <c r="B64" s="4" t="s">
        <v>58</v>
      </c>
      <c r="C64" s="9">
        <v>18419.96</v>
      </c>
      <c r="D64" s="10" cm="1">
        <f t="array" ref="D64">_xlfn.XLOOKUP(1, (A$14:A$49=A64) * (B$14:B$49=B64), E$14:E$49,"Not Found")</f>
        <v>0.23126983359710118</v>
      </c>
    </row>
    <row r="65" spans="1:4" x14ac:dyDescent="0.3">
      <c r="A65" s="30" t="s">
        <v>53</v>
      </c>
      <c r="B65" s="30"/>
      <c r="C65" s="11">
        <f>SUM(C55:C64)</f>
        <v>212052.22999999995</v>
      </c>
      <c r="D65" s="12">
        <f>C65/D50</f>
        <v>0.43411790166093334</v>
      </c>
    </row>
  </sheetData>
  <mergeCells count="1">
    <mergeCell ref="A65:B6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7AABD-34EF-4606-AD84-60DEAC74C1E0}">
  <dimension ref="A1:G10"/>
  <sheetViews>
    <sheetView workbookViewId="0">
      <selection activeCell="E7" sqref="E7"/>
    </sheetView>
  </sheetViews>
  <sheetFormatPr defaultRowHeight="13.8" x14ac:dyDescent="0.3"/>
  <cols>
    <col min="1" max="1" width="12.6640625" bestFit="1" customWidth="1"/>
    <col min="2" max="2" width="15" bestFit="1" customWidth="1"/>
    <col min="3" max="3" width="20.5546875" bestFit="1" customWidth="1"/>
    <col min="4" max="4" width="17.6640625" bestFit="1" customWidth="1"/>
    <col min="5" max="5" width="19.6640625" bestFit="1" customWidth="1"/>
    <col min="6" max="7" width="12" bestFit="1" customWidth="1"/>
  </cols>
  <sheetData>
    <row r="1" spans="1:7" x14ac:dyDescent="0.3">
      <c r="A1" s="1" t="s">
        <v>84</v>
      </c>
      <c r="B1" s="1"/>
      <c r="C1" s="1"/>
      <c r="D1" s="1"/>
      <c r="E1" s="1"/>
      <c r="F1" s="1"/>
      <c r="G1" s="1"/>
    </row>
    <row r="2" spans="1:7" x14ac:dyDescent="0.3">
      <c r="A2" s="5" t="s">
        <v>85</v>
      </c>
      <c r="B2" s="5" t="s">
        <v>45</v>
      </c>
      <c r="C2" s="5" t="s">
        <v>72</v>
      </c>
      <c r="D2" s="5" t="s">
        <v>73</v>
      </c>
      <c r="E2" s="5" t="s">
        <v>46</v>
      </c>
      <c r="F2" s="5" t="s">
        <v>38</v>
      </c>
      <c r="G2" s="5" t="s">
        <v>42</v>
      </c>
    </row>
    <row r="3" spans="1:7" x14ac:dyDescent="0.3">
      <c r="A3" s="4" t="s">
        <v>86</v>
      </c>
      <c r="B3" s="4">
        <v>423</v>
      </c>
      <c r="C3" s="9">
        <v>719109.36</v>
      </c>
      <c r="D3" s="9">
        <v>564588.18999999994</v>
      </c>
      <c r="E3" s="9">
        <v>154521.17000000001</v>
      </c>
      <c r="F3" s="10">
        <v>0.78512145913383735</v>
      </c>
      <c r="G3" s="10">
        <v>0.15839243498817968</v>
      </c>
    </row>
    <row r="4" spans="1:7" x14ac:dyDescent="0.3">
      <c r="A4" s="4" t="s">
        <v>87</v>
      </c>
      <c r="B4" s="4">
        <v>432</v>
      </c>
      <c r="C4" s="9">
        <v>736814.01</v>
      </c>
      <c r="D4" s="9">
        <v>570268.96</v>
      </c>
      <c r="E4" s="9">
        <v>166545.04999999999</v>
      </c>
      <c r="F4" s="10">
        <v>0.77396595648337352</v>
      </c>
      <c r="G4" s="10">
        <v>0.15740740740740741</v>
      </c>
    </row>
    <row r="5" spans="1:7" x14ac:dyDescent="0.3">
      <c r="A5" s="4" t="s">
        <v>88</v>
      </c>
      <c r="B5" s="4">
        <v>441</v>
      </c>
      <c r="C5" s="9">
        <v>750708</v>
      </c>
      <c r="D5" s="9">
        <v>582173.16</v>
      </c>
      <c r="E5" s="9">
        <v>168534.84</v>
      </c>
      <c r="F5" s="10">
        <v>0.77549880912418678</v>
      </c>
      <c r="G5" s="10">
        <v>0.16099773242630386</v>
      </c>
    </row>
    <row r="6" spans="1:7" x14ac:dyDescent="0.3">
      <c r="A6" s="4" t="s">
        <v>89</v>
      </c>
      <c r="B6" s="4">
        <v>440</v>
      </c>
      <c r="C6" s="9">
        <v>751054.69</v>
      </c>
      <c r="D6" s="9">
        <v>616495.78</v>
      </c>
      <c r="E6" s="9">
        <v>134558.91</v>
      </c>
      <c r="F6" s="10">
        <v>0.82084006425683875</v>
      </c>
      <c r="G6" s="10">
        <v>9.5454545454545459E-2</v>
      </c>
    </row>
    <row r="7" spans="1:7" x14ac:dyDescent="0.3">
      <c r="A7" s="4" t="s">
        <v>90</v>
      </c>
      <c r="B7" s="4">
        <v>403</v>
      </c>
      <c r="C7" s="9">
        <v>633152.12</v>
      </c>
      <c r="D7" s="9">
        <v>497701.63</v>
      </c>
      <c r="E7" s="9">
        <v>135450.49</v>
      </c>
      <c r="F7" s="10">
        <v>0.78606959414429511</v>
      </c>
      <c r="G7" s="10">
        <v>0.14392059553349876</v>
      </c>
    </row>
    <row r="8" spans="1:7" x14ac:dyDescent="0.3">
      <c r="A8" s="4" t="s">
        <v>91</v>
      </c>
      <c r="B8" s="4">
        <v>440</v>
      </c>
      <c r="C8" s="9">
        <v>733282.19</v>
      </c>
      <c r="D8" s="9">
        <v>564334.79</v>
      </c>
      <c r="E8" s="9">
        <v>168947.4</v>
      </c>
      <c r="F8" s="10">
        <v>0.76960111359039018</v>
      </c>
      <c r="G8" s="10">
        <v>0.16136363636363638</v>
      </c>
    </row>
    <row r="9" spans="1:7" x14ac:dyDescent="0.3">
      <c r="A9" s="4" t="s">
        <v>92</v>
      </c>
      <c r="B9" s="4">
        <v>421</v>
      </c>
      <c r="C9" s="9">
        <v>710453.23</v>
      </c>
      <c r="D9" s="9">
        <v>543445.68000000005</v>
      </c>
      <c r="E9" s="9">
        <v>167007.54999999999</v>
      </c>
      <c r="F9" s="10">
        <v>0.76492815719903207</v>
      </c>
      <c r="G9" s="10">
        <v>0.17102137767220901</v>
      </c>
    </row>
    <row r="10" spans="1:7" x14ac:dyDescent="0.3">
      <c r="A10" s="5" t="s">
        <v>53</v>
      </c>
      <c r="B10" s="5">
        <v>3000</v>
      </c>
      <c r="C10" s="11">
        <v>5034573.5999999996</v>
      </c>
      <c r="D10" s="11">
        <v>3939008.19</v>
      </c>
      <c r="E10" s="11">
        <v>1095565.4099999999</v>
      </c>
      <c r="F10" s="12">
        <v>0.7823916190241017</v>
      </c>
      <c r="G10" s="12">
        <v>0.14966666666666667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078CB-56D5-460B-A611-BF0ADC3EBA2E}">
  <dimension ref="A1:E6"/>
  <sheetViews>
    <sheetView tabSelected="1" workbookViewId="0">
      <selection activeCell="D8" sqref="D8"/>
    </sheetView>
  </sheetViews>
  <sheetFormatPr defaultRowHeight="13.8" x14ac:dyDescent="0.3"/>
  <cols>
    <col min="1" max="1" width="5.21875" bestFit="1" customWidth="1"/>
    <col min="2" max="2" width="46.109375" bestFit="1" customWidth="1"/>
    <col min="3" max="3" width="15.77734375" bestFit="1" customWidth="1"/>
    <col min="4" max="4" width="99.44140625" customWidth="1"/>
    <col min="5" max="5" width="11.44140625" customWidth="1"/>
  </cols>
  <sheetData>
    <row r="1" spans="1:5" x14ac:dyDescent="0.3">
      <c r="A1" s="3" t="s">
        <v>93</v>
      </c>
      <c r="B1" s="3" t="s">
        <v>94</v>
      </c>
      <c r="C1" s="3" t="s">
        <v>95</v>
      </c>
      <c r="D1" s="3" t="s">
        <v>96</v>
      </c>
      <c r="E1" s="3" t="s">
        <v>97</v>
      </c>
    </row>
    <row r="2" spans="1:5" x14ac:dyDescent="0.3">
      <c r="A2" s="4" t="s">
        <v>98</v>
      </c>
      <c r="B2" s="4" t="s">
        <v>99</v>
      </c>
      <c r="C2" s="4" t="s">
        <v>100</v>
      </c>
      <c r="D2" s="4" t="s">
        <v>113</v>
      </c>
      <c r="E2" s="4" t="s">
        <v>118</v>
      </c>
    </row>
    <row r="3" spans="1:5" x14ac:dyDescent="0.3">
      <c r="A3" s="4" t="s">
        <v>101</v>
      </c>
      <c r="B3" s="4" t="s">
        <v>102</v>
      </c>
      <c r="C3" s="4" t="s">
        <v>103</v>
      </c>
      <c r="D3" s="4" t="s">
        <v>114</v>
      </c>
      <c r="E3" s="4" t="s">
        <v>118</v>
      </c>
    </row>
    <row r="4" spans="1:5" ht="41.4" x14ac:dyDescent="0.3">
      <c r="A4" s="4" t="s">
        <v>104</v>
      </c>
      <c r="B4" s="4" t="s">
        <v>105</v>
      </c>
      <c r="C4" s="4" t="s">
        <v>82</v>
      </c>
      <c r="D4" s="29" t="s">
        <v>119</v>
      </c>
      <c r="E4" s="4" t="s">
        <v>118</v>
      </c>
    </row>
    <row r="5" spans="1:5" ht="27.6" x14ac:dyDescent="0.3">
      <c r="A5" s="4" t="s">
        <v>106</v>
      </c>
      <c r="B5" s="4" t="s">
        <v>107</v>
      </c>
      <c r="C5" s="4" t="s">
        <v>108</v>
      </c>
      <c r="D5" s="29" t="s">
        <v>112</v>
      </c>
      <c r="E5" s="4" t="s">
        <v>118</v>
      </c>
    </row>
    <row r="6" spans="1:5" ht="41.4" x14ac:dyDescent="0.3">
      <c r="A6" s="4" t="s">
        <v>109</v>
      </c>
      <c r="B6" s="4" t="s">
        <v>110</v>
      </c>
      <c r="C6" s="4" t="s">
        <v>111</v>
      </c>
      <c r="D6" s="29" t="s">
        <v>115</v>
      </c>
      <c r="E6" s="4" t="s">
        <v>118</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Project_Control</vt:lpstr>
      <vt:lpstr>Executive_KPIs</vt:lpstr>
      <vt:lpstr>AR_Evidence</vt:lpstr>
      <vt:lpstr>Denial_Evidence</vt:lpstr>
      <vt:lpstr>Payer_Evidence</vt:lpstr>
      <vt:lpstr>Trend_Evidence</vt:lpstr>
      <vt:lpstr>Business_Questions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Vishal Bhardwaj</dc:creator>
  <cp:lastModifiedBy>Vishal Bhardwaj</cp:lastModifiedBy>
  <dcterms:created xsi:type="dcterms:W3CDTF">2026-09-28T01:05:55Z</dcterms:created>
  <dcterms:modified xsi:type="dcterms:W3CDTF">2026-09-29T18:39:41Z</dcterms:modified>
</cp:coreProperties>
</file>